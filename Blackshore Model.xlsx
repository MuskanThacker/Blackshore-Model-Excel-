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ka\Downloads\"/>
    </mc:Choice>
  </mc:AlternateContent>
  <xr:revisionPtr revIDLastSave="0" documentId="13_ncr:1_{B1CB5A3A-55BA-4CAA-BCC1-2C7ED36E9817}" xr6:coauthVersionLast="47" xr6:coauthVersionMax="47" xr10:uidLastSave="{00000000-0000-0000-0000-000000000000}"/>
  <bookViews>
    <workbookView xWindow="-108" yWindow="-108" windowWidth="23256" windowHeight="12456" xr2:uid="{C023A7D8-FE3A-4AAF-8FD6-03262C835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8" i="1" s="1"/>
  <c r="C19" i="1" s="1"/>
  <c r="C12" i="1"/>
  <c r="C22" i="1" s="1"/>
  <c r="C21" i="1" l="1"/>
  <c r="C24" i="1" s="1"/>
  <c r="C30" i="1"/>
  <c r="C25" i="1" l="1"/>
  <c r="G30" i="1"/>
  <c r="C27" i="1"/>
  <c r="G31" i="1" l="1"/>
  <c r="G33" i="1" s="1"/>
  <c r="C28" i="1"/>
  <c r="C31" i="1" s="1"/>
  <c r="C33" i="1" s="1"/>
</calcChain>
</file>

<file path=xl/sharedStrings.xml><?xml version="1.0" encoding="utf-8"?>
<sst xmlns="http://schemas.openxmlformats.org/spreadsheetml/2006/main" count="29" uniqueCount="28">
  <si>
    <t>Spot price</t>
  </si>
  <si>
    <t>Strike price</t>
  </si>
  <si>
    <t>RFR</t>
  </si>
  <si>
    <t>Time to expiry</t>
  </si>
  <si>
    <t>Sigma</t>
  </si>
  <si>
    <t>D1</t>
  </si>
  <si>
    <t>D2</t>
  </si>
  <si>
    <t>N(d1)</t>
  </si>
  <si>
    <t>N(d2)</t>
  </si>
  <si>
    <t>PV of K</t>
  </si>
  <si>
    <t>Call price</t>
  </si>
  <si>
    <t>N(-d1)</t>
  </si>
  <si>
    <t>N(-d2)</t>
  </si>
  <si>
    <t>Given</t>
  </si>
  <si>
    <t xml:space="preserve">Dividend </t>
  </si>
  <si>
    <t>PV of D</t>
  </si>
  <si>
    <t xml:space="preserve">Adjusted spot </t>
  </si>
  <si>
    <t>Spot - PV (D)</t>
  </si>
  <si>
    <t>Ans</t>
  </si>
  <si>
    <t>Numerator</t>
  </si>
  <si>
    <t>Put option</t>
  </si>
  <si>
    <t>Dividend time</t>
  </si>
  <si>
    <t>Denominator</t>
  </si>
  <si>
    <t xml:space="preserve">Alternative method </t>
  </si>
  <si>
    <t>ATM: At the money</t>
  </si>
  <si>
    <t>A stock is currently trading at ₹200. A European call and put option on the stock have a strike price of ₹200 and expire in 45 days. The continuously compounded risk-free interest rate is 6% per annum and the volatility of the stock is 15% per annum.</t>
  </si>
  <si>
    <t>The stock is expected to pay a dividend of ₹10 after 20 days.</t>
  </si>
  <si>
    <t>Use the the modified Black–Scholes Model for a stock paying a discrete dividend, to calculate price of the European Put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</si>
</sst>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832F-E61E-471B-93DF-8E2D567D53BF}">
  <dimension ref="A1:I33"/>
  <sheetViews>
    <sheetView tabSelected="1" zoomScale="94" workbookViewId="0">
      <selection activeCell="D27" sqref="D27"/>
    </sheetView>
  </sheetViews>
  <sheetFormatPr defaultRowHeight="14.4" x14ac:dyDescent="0.3"/>
  <cols>
    <col min="2" max="2" width="15.77734375" customWidth="1"/>
    <col min="3" max="3" width="15.88671875" customWidth="1"/>
    <col min="8" max="8" width="10.88671875" customWidth="1"/>
  </cols>
  <sheetData>
    <row r="1" spans="1:9" x14ac:dyDescent="0.3">
      <c r="A1" s="11" t="s">
        <v>25</v>
      </c>
      <c r="B1" s="11"/>
      <c r="C1" s="11"/>
      <c r="D1" s="11"/>
      <c r="E1" s="11"/>
      <c r="F1" s="11"/>
      <c r="G1" s="11"/>
      <c r="H1" s="11"/>
    </row>
    <row r="2" spans="1:9" ht="28.2" customHeight="1" x14ac:dyDescent="0.3">
      <c r="A2" s="11"/>
      <c r="B2" s="11"/>
      <c r="C2" s="11"/>
      <c r="D2" s="11"/>
      <c r="E2" s="11"/>
      <c r="F2" s="11"/>
      <c r="G2" s="11"/>
      <c r="H2" s="11"/>
    </row>
    <row r="3" spans="1:9" x14ac:dyDescent="0.3">
      <c r="A3" s="12" t="s">
        <v>26</v>
      </c>
      <c r="B3" s="12"/>
      <c r="C3" s="12"/>
      <c r="D3" s="12"/>
      <c r="E3" s="12"/>
      <c r="F3" s="12"/>
      <c r="G3" s="12"/>
      <c r="H3" s="12"/>
    </row>
    <row r="4" spans="1:9" ht="14.4" customHeight="1" x14ac:dyDescent="0.3">
      <c r="A4" s="11" t="s">
        <v>27</v>
      </c>
      <c r="B4" s="11"/>
      <c r="C4" s="11"/>
      <c r="D4" s="11"/>
      <c r="E4" s="11"/>
      <c r="F4" s="11"/>
      <c r="G4" s="11"/>
      <c r="H4" s="11"/>
      <c r="I4" s="10"/>
    </row>
    <row r="5" spans="1:9" x14ac:dyDescent="0.3">
      <c r="A5" s="11"/>
      <c r="B5" s="11"/>
      <c r="C5" s="11"/>
      <c r="D5" s="11"/>
      <c r="E5" s="11"/>
      <c r="F5" s="11"/>
      <c r="G5" s="11"/>
      <c r="H5" s="11"/>
      <c r="I5" s="10"/>
    </row>
    <row r="7" spans="1:9" x14ac:dyDescent="0.3">
      <c r="A7" t="s">
        <v>13</v>
      </c>
    </row>
    <row r="8" spans="1:9" x14ac:dyDescent="0.3">
      <c r="B8" s="3" t="s">
        <v>0</v>
      </c>
      <c r="C8" s="4">
        <v>200</v>
      </c>
    </row>
    <row r="9" spans="1:9" x14ac:dyDescent="0.3">
      <c r="B9" s="5" t="s">
        <v>1</v>
      </c>
      <c r="C9" s="6">
        <v>200</v>
      </c>
      <c r="D9" t="s">
        <v>24</v>
      </c>
    </row>
    <row r="10" spans="1:9" x14ac:dyDescent="0.3">
      <c r="B10" s="5" t="s">
        <v>2</v>
      </c>
      <c r="C10" s="7">
        <v>0.06</v>
      </c>
    </row>
    <row r="11" spans="1:9" x14ac:dyDescent="0.3">
      <c r="B11" s="5" t="s">
        <v>4</v>
      </c>
      <c r="C11" s="7">
        <v>0.15</v>
      </c>
    </row>
    <row r="12" spans="1:9" x14ac:dyDescent="0.3">
      <c r="B12" s="5" t="s">
        <v>3</v>
      </c>
      <c r="C12" s="6">
        <f>45/365</f>
        <v>0.12328767123287671</v>
      </c>
    </row>
    <row r="13" spans="1:9" x14ac:dyDescent="0.3">
      <c r="B13" s="5"/>
      <c r="C13" s="6"/>
    </row>
    <row r="14" spans="1:9" x14ac:dyDescent="0.3">
      <c r="B14" s="5" t="s">
        <v>14</v>
      </c>
      <c r="C14" s="6">
        <v>10</v>
      </c>
    </row>
    <row r="15" spans="1:9" x14ac:dyDescent="0.3">
      <c r="B15" s="8" t="s">
        <v>21</v>
      </c>
      <c r="C15" s="9">
        <f>20/365</f>
        <v>5.4794520547945202E-2</v>
      </c>
    </row>
    <row r="16" spans="1:9" x14ac:dyDescent="0.3">
      <c r="A16" t="s">
        <v>18</v>
      </c>
    </row>
    <row r="18" spans="2:7" x14ac:dyDescent="0.3">
      <c r="B18" s="2" t="s">
        <v>15</v>
      </c>
      <c r="C18" s="2">
        <f>C14*EXP(-C10*C15)</f>
        <v>9.9671772724043546</v>
      </c>
    </row>
    <row r="19" spans="2:7" x14ac:dyDescent="0.3">
      <c r="B19" s="2" t="s">
        <v>16</v>
      </c>
      <c r="C19" s="2">
        <f>C8-C18</f>
        <v>190.03282272759566</v>
      </c>
      <c r="D19" t="s">
        <v>17</v>
      </c>
    </row>
    <row r="21" spans="2:7" x14ac:dyDescent="0.3">
      <c r="B21" s="2" t="s">
        <v>19</v>
      </c>
      <c r="C21" s="2">
        <f>(LN(C19/C9)+(C10+0.5*C11^2)*C12)</f>
        <v>-4.2336311534106157E-2</v>
      </c>
    </row>
    <row r="22" spans="2:7" x14ac:dyDescent="0.3">
      <c r="B22" s="2" t="s">
        <v>22</v>
      </c>
      <c r="C22" s="2">
        <f>C11*SQRT(C12)</f>
        <v>5.2668516238258752E-2</v>
      </c>
    </row>
    <row r="24" spans="2:7" x14ac:dyDescent="0.3">
      <c r="B24" s="2" t="s">
        <v>5</v>
      </c>
      <c r="C24" s="2">
        <f>C21/C22</f>
        <v>-0.80382578735629517</v>
      </c>
    </row>
    <row r="25" spans="2:7" x14ac:dyDescent="0.3">
      <c r="B25" s="2" t="s">
        <v>6</v>
      </c>
      <c r="C25" s="2">
        <f>C24-C22</f>
        <v>-0.85649430359455392</v>
      </c>
    </row>
    <row r="27" spans="2:7" x14ac:dyDescent="0.3">
      <c r="B27" s="2" t="s">
        <v>7</v>
      </c>
      <c r="C27" s="2">
        <f>NORMSDIST(C24)</f>
        <v>0.21074879731745966</v>
      </c>
    </row>
    <row r="28" spans="2:7" x14ac:dyDescent="0.3">
      <c r="B28" s="2" t="s">
        <v>8</v>
      </c>
      <c r="C28" s="2">
        <f>NORMSDIST(C25)</f>
        <v>0.19586221118014757</v>
      </c>
      <c r="F28" s="1" t="s">
        <v>23</v>
      </c>
      <c r="G28" s="1"/>
    </row>
    <row r="30" spans="2:7" x14ac:dyDescent="0.3">
      <c r="B30" s="2" t="s">
        <v>9</v>
      </c>
      <c r="C30" s="2">
        <f>C9*EXP(-C10*C12)</f>
        <v>198.52600642360704</v>
      </c>
      <c r="F30" s="2" t="s">
        <v>11</v>
      </c>
      <c r="G30" s="2">
        <f>NORMSDIST(-C24)</f>
        <v>0.78925120268254034</v>
      </c>
    </row>
    <row r="31" spans="2:7" x14ac:dyDescent="0.3">
      <c r="B31" s="2" t="s">
        <v>10</v>
      </c>
      <c r="C31" s="13">
        <f>C19*C27-C30*C28</f>
        <v>1.1654462457909389</v>
      </c>
      <c r="F31" s="2" t="s">
        <v>12</v>
      </c>
      <c r="G31" s="2">
        <f>NORMSDIST(-C25)</f>
        <v>0.80413778881985243</v>
      </c>
    </row>
    <row r="33" spans="2:7" x14ac:dyDescent="0.3">
      <c r="B33" s="2" t="s">
        <v>20</v>
      </c>
      <c r="C33" s="14">
        <f>C31+C30-C19</f>
        <v>9.6586299418023316</v>
      </c>
      <c r="F33" s="2" t="s">
        <v>20</v>
      </c>
      <c r="G33" s="14">
        <f>C30*G31-C19*G30</f>
        <v>9.6586299418023316</v>
      </c>
    </row>
  </sheetData>
  <mergeCells count="4">
    <mergeCell ref="F28:G28"/>
    <mergeCell ref="A1:H2"/>
    <mergeCell ref="A3:H3"/>
    <mergeCell ref="A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Thacker</dc:creator>
  <cp:lastModifiedBy>Muskan Thacker</cp:lastModifiedBy>
  <dcterms:created xsi:type="dcterms:W3CDTF">2026-03-23T10:53:54Z</dcterms:created>
  <dcterms:modified xsi:type="dcterms:W3CDTF">2026-05-07T05:13:49Z</dcterms:modified>
</cp:coreProperties>
</file>